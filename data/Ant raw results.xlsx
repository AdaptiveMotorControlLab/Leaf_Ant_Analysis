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<sst xmlns="http://schemas.openxmlformats.org/spreadsheetml/2006/main" count="108" uniqueCount="41">
  <si>
    <t>computed from here: https://colab.research.google.com/drive/1Jnifs1Vs1t3iAG4F8-xbwVNhuBA7NUdQ#scrollTo=UQykCJzouHD-&amp;line=3&amp;uniqifier=1</t>
  </si>
  <si>
    <t>THIS IS CONSIDERING WITHIN THE LEAF ZONE!!!</t>
  </si>
  <si>
    <t>Ant analysis</t>
  </si>
  <si>
    <t>LEFT CHAMBER</t>
  </si>
  <si>
    <t>RIGHT CHAMBER</t>
  </si>
  <si>
    <t>video 1</t>
  </si>
  <si>
    <t>6878.4 total length in sec of video</t>
  </si>
  <si>
    <t>ANT is within the ROI 1804.0 seconds. The fraction of time is 26.23 percent</t>
  </si>
  <si>
    <t>ANT is within the ROI 1678.0 seconds. The fraction of time is 24.39 percent</t>
  </si>
  <si>
    <t>video 2</t>
  </si>
  <si>
    <t>7296.0 total length in sec of video</t>
  </si>
  <si>
    <t>ANT is within the ROI 1838.0 seconds. The fraction of time is 25.19 percent</t>
  </si>
  <si>
    <t>ANT is within the ROI 2001.0 seconds. The fraction of time is 27.42 percent</t>
  </si>
  <si>
    <t>video 3</t>
  </si>
  <si>
    <t>7203.1 total length in sec of vide</t>
  </si>
  <si>
    <t>7203.1 total length in sec of video</t>
  </si>
  <si>
    <t>ANT is within the ROI 2713.0 seconds. The fraction of time is 37.67 percent</t>
  </si>
  <si>
    <t>ANT is within the ROI 1827.0 seconds. The fraction of time is 25.36 percen</t>
  </si>
  <si>
    <t>video 4</t>
  </si>
  <si>
    <t>7186.9 total length in sec of video</t>
  </si>
  <si>
    <t>ANT is within the ROI 2090.0 seconds. The fraction of time is 29.08 percent</t>
  </si>
  <si>
    <t>ANT is within the ROI 3633.0 seconds. The fraction of time is 50.56 percent</t>
  </si>
  <si>
    <t>video 5</t>
  </si>
  <si>
    <t>3648.0 total length in sec of video</t>
  </si>
  <si>
    <t>ANT is within the ROI 2119.0 seconds. The fraction of time is 58.08 percent</t>
  </si>
  <si>
    <t>ANT is within the ROI 2272.0 seconds. The fraction of time is 62.28 percent</t>
  </si>
  <si>
    <t>THIS IS CONSIDERING OUTSIDE THE LEAF ZONE</t>
  </si>
  <si>
    <t>ANT is within the ROI 1997.0 seconds. The fraction of time is 29.03 percent</t>
  </si>
  <si>
    <t>ANT is within the ROI 1328.0 seconds. The fraction of time is 19.31 percent</t>
  </si>
  <si>
    <t>7296.0 total length in sec of vid</t>
  </si>
  <si>
    <t>ANT is within the ROI 3635.0 seconds. The fraction of time is 49.82 percent</t>
  </si>
  <si>
    <t>ANT is within the ROI 666.0 seconds. The fraction of time is 9.13 percent</t>
  </si>
  <si>
    <t>ANT is within the ROI 3291.0 seconds. The fraction of time is 45.69 percent</t>
  </si>
  <si>
    <t>ANT is within the ROI 438.0 seconds. The fraction of time is 6.08 percent</t>
  </si>
  <si>
    <t>ANT is within the ROI 3131.0 seconds. The fraction of time is 43.57 percent</t>
  </si>
  <si>
    <t>ANT is within the ROI 1005.0 seconds. The fraction of time is 13.99 percent</t>
  </si>
  <si>
    <t>ANT is within the ROI 786.0 seconds. The fraction of time is 21.54 percent</t>
  </si>
  <si>
    <t>ANT is within the ROI 142.0 seconds. The fraction of time is 3.88 percent</t>
  </si>
  <si>
    <t>TOTAL TIME TRACKED: leaf zone + out of leaf zone</t>
  </si>
  <si>
    <t>MISSING:</t>
  </si>
  <si>
    <t>LIKELY TIME IN LEAF ZONE: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</si>
</sst>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  <font>
      <color rgb="FF0000FF"/>
      <name val="Arial"/>
      <scheme val="minor"/>
    </font>
    <font>
      <sz val="11.0"/>
      <color rgb="FF000000"/>
      <name val="Monospace"/>
    </font>
    <font>
      <color rgb="FF000000"/>
      <name val="Arial"/>
      <scheme val="minor"/>
    </font>
    <font>
      <sz val="11.0"/>
      <color rgb="FF000000"/>
      <name val="Arial"/>
    </font>
    <font>
      <sz val="11.0"/>
      <color theme="1"/>
      <name val="Monospace"/>
    </font>
    <font>
      <sz val="11.0"/>
      <color theme="1"/>
      <name val="Arial"/>
    </font>
    <font>
      <b/>
      <color rgb="FFFF0000"/>
      <name val="Arial"/>
      <scheme val="minor"/>
    </font>
    <font>
      <b/>
      <color rgb="FF000000"/>
      <name val="Arial"/>
      <scheme val="minor"/>
    </font>
    <font>
      <sz val="11.0"/>
      <color rgb="FF212121"/>
      <name val="Monospace"/>
    </font>
    <font>
      <sz val="11.0"/>
      <color rgb="FF212121"/>
      <name val="Arial"/>
    </font>
    <font>
      <b/>
      <color theme="1"/>
      <name val="Arial"/>
      <scheme val="minor"/>
    </font>
    <font>
      <b/>
      <color rgb="FF38761D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Font="1"/>
    <xf borderId="0" fillId="2" fontId="4" numFmtId="0" xfId="0" applyAlignment="1" applyFill="1" applyFont="1">
      <alignment readingOrder="0"/>
    </xf>
    <xf borderId="0" fillId="0" fontId="5" numFmtId="0" xfId="0" applyFont="1"/>
    <xf borderId="0" fillId="2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2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3" fontId="14" numFmtId="0" xfId="0" applyAlignment="1" applyFill="1" applyFont="1">
      <alignment readingOrder="0"/>
    </xf>
    <xf borderId="0" fillId="3" fontId="1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/>
      <c r="C3" s="2" t="s">
        <v>1</v>
      </c>
      <c r="D3" s="3"/>
      <c r="E3" s="3"/>
      <c r="F3" s="3"/>
      <c r="G3" s="3"/>
      <c r="H3" s="3"/>
    </row>
    <row r="4">
      <c r="C4" s="4" t="s">
        <v>2</v>
      </c>
      <c r="D4" s="3"/>
      <c r="E4" s="3"/>
      <c r="F4" s="3"/>
      <c r="G4" s="3"/>
      <c r="H4" s="3"/>
    </row>
    <row r="5">
      <c r="C5" s="2" t="s">
        <v>3</v>
      </c>
      <c r="D5" s="5"/>
      <c r="E5" s="5"/>
      <c r="F5" s="5"/>
      <c r="G5" s="5"/>
      <c r="H5" s="2" t="s">
        <v>4</v>
      </c>
    </row>
    <row r="6">
      <c r="C6" s="4" t="s">
        <v>5</v>
      </c>
      <c r="D6" s="3"/>
      <c r="E6" s="3"/>
      <c r="F6" s="3"/>
      <c r="G6" s="3"/>
      <c r="H6" s="4" t="s">
        <v>5</v>
      </c>
    </row>
    <row r="7">
      <c r="C7" s="6" t="s">
        <v>6</v>
      </c>
      <c r="D7" s="7"/>
      <c r="E7" s="7"/>
      <c r="F7" s="7"/>
      <c r="G7" s="7"/>
      <c r="H7" s="6" t="s">
        <v>6</v>
      </c>
    </row>
    <row r="8">
      <c r="C8" s="8" t="s">
        <v>7</v>
      </c>
      <c r="D8" s="7"/>
      <c r="E8" s="7"/>
      <c r="F8" s="7"/>
      <c r="G8" s="7"/>
      <c r="H8" s="8" t="s">
        <v>8</v>
      </c>
    </row>
    <row r="10">
      <c r="C10" s="4" t="s">
        <v>9</v>
      </c>
      <c r="D10" s="3"/>
      <c r="E10" s="3"/>
      <c r="F10" s="3"/>
      <c r="G10" s="3"/>
      <c r="H10" s="4" t="s">
        <v>9</v>
      </c>
    </row>
    <row r="11">
      <c r="C11" s="9" t="s">
        <v>10</v>
      </c>
      <c r="D11" s="3"/>
      <c r="E11" s="3"/>
      <c r="F11" s="3"/>
      <c r="G11" s="3"/>
      <c r="H11" s="10" t="s">
        <v>10</v>
      </c>
    </row>
    <row r="12">
      <c r="C12" s="11" t="s">
        <v>11</v>
      </c>
      <c r="D12" s="3"/>
      <c r="E12" s="3"/>
      <c r="F12" s="3"/>
      <c r="G12" s="3"/>
      <c r="H12" s="10" t="s">
        <v>12</v>
      </c>
    </row>
    <row r="13">
      <c r="C13" s="3"/>
      <c r="D13" s="3"/>
      <c r="E13" s="3"/>
      <c r="F13" s="3"/>
      <c r="G13" s="3"/>
      <c r="H13" s="3"/>
    </row>
    <row r="14">
      <c r="C14" s="4" t="s">
        <v>13</v>
      </c>
      <c r="D14" s="3"/>
      <c r="E14" s="3"/>
      <c r="F14" s="3"/>
      <c r="G14" s="3"/>
      <c r="H14" s="4" t="s">
        <v>13</v>
      </c>
    </row>
    <row r="15">
      <c r="C15" s="9" t="s">
        <v>14</v>
      </c>
      <c r="D15" s="3"/>
      <c r="E15" s="3"/>
      <c r="F15" s="3"/>
      <c r="G15" s="3"/>
      <c r="H15" s="10" t="s">
        <v>15</v>
      </c>
    </row>
    <row r="16">
      <c r="C16" s="11" t="s">
        <v>16</v>
      </c>
      <c r="D16" s="3"/>
      <c r="E16" s="3"/>
      <c r="F16" s="3"/>
      <c r="G16" s="3"/>
      <c r="H16" s="12" t="s">
        <v>17</v>
      </c>
    </row>
    <row r="17">
      <c r="C17" s="3"/>
      <c r="D17" s="3"/>
      <c r="E17" s="3"/>
      <c r="F17" s="3"/>
      <c r="G17" s="3"/>
      <c r="H17" s="3"/>
    </row>
    <row r="18">
      <c r="C18" s="4" t="s">
        <v>18</v>
      </c>
      <c r="D18" s="3"/>
      <c r="E18" s="3"/>
      <c r="F18" s="3"/>
      <c r="G18" s="3"/>
      <c r="H18" s="4" t="s">
        <v>18</v>
      </c>
    </row>
    <row r="19">
      <c r="C19" s="9" t="s">
        <v>19</v>
      </c>
      <c r="D19" s="7"/>
      <c r="E19" s="7"/>
      <c r="F19" s="7"/>
      <c r="G19" s="7"/>
      <c r="H19" s="9" t="s">
        <v>19</v>
      </c>
    </row>
    <row r="20">
      <c r="C20" s="11" t="s">
        <v>20</v>
      </c>
      <c r="D20" s="7"/>
      <c r="E20" s="7"/>
      <c r="F20" s="7"/>
      <c r="G20" s="7"/>
      <c r="H20" s="11" t="s">
        <v>21</v>
      </c>
    </row>
    <row r="21">
      <c r="C21" s="3"/>
      <c r="D21" s="3"/>
      <c r="E21" s="3"/>
      <c r="F21" s="3"/>
      <c r="G21" s="3"/>
      <c r="H21" s="3"/>
    </row>
    <row r="22">
      <c r="C22" s="4" t="s">
        <v>22</v>
      </c>
      <c r="D22" s="3"/>
      <c r="E22" s="3"/>
      <c r="F22" s="3"/>
      <c r="G22" s="3"/>
      <c r="H22" s="4" t="s">
        <v>22</v>
      </c>
    </row>
    <row r="23">
      <c r="C23" s="9" t="s">
        <v>23</v>
      </c>
      <c r="D23" s="3"/>
      <c r="E23" s="3"/>
      <c r="F23" s="3"/>
      <c r="G23" s="3"/>
      <c r="H23" s="9" t="s">
        <v>23</v>
      </c>
    </row>
    <row r="24">
      <c r="C24" s="11" t="s">
        <v>24</v>
      </c>
      <c r="D24" s="3"/>
      <c r="E24" s="3"/>
      <c r="F24" s="3"/>
      <c r="G24" s="3"/>
      <c r="H24" s="11" t="s">
        <v>25</v>
      </c>
    </row>
    <row r="27">
      <c r="A27" s="1"/>
      <c r="C27" s="13" t="s">
        <v>26</v>
      </c>
      <c r="D27" s="3"/>
      <c r="E27" s="3"/>
      <c r="F27" s="3"/>
      <c r="G27" s="3"/>
      <c r="H27" s="3"/>
    </row>
    <row r="28">
      <c r="C28" s="14" t="s">
        <v>2</v>
      </c>
      <c r="D28" s="7"/>
      <c r="E28" s="7"/>
      <c r="F28" s="7"/>
      <c r="G28" s="7"/>
      <c r="H28" s="7"/>
    </row>
    <row r="29">
      <c r="C29" s="15" t="s">
        <v>3</v>
      </c>
      <c r="D29" s="16"/>
      <c r="E29" s="16"/>
      <c r="F29" s="16"/>
      <c r="G29" s="16"/>
      <c r="H29" s="15" t="s">
        <v>4</v>
      </c>
    </row>
    <row r="30">
      <c r="C30" s="15" t="s">
        <v>5</v>
      </c>
      <c r="D30" s="7"/>
      <c r="E30" s="7"/>
      <c r="F30" s="7"/>
      <c r="G30" s="7"/>
      <c r="H30" s="15" t="s">
        <v>5</v>
      </c>
    </row>
    <row r="31">
      <c r="C31" s="6" t="s">
        <v>6</v>
      </c>
      <c r="D31" s="7"/>
      <c r="E31" s="7"/>
      <c r="F31" s="7"/>
      <c r="G31" s="7"/>
      <c r="H31" s="6" t="s">
        <v>6</v>
      </c>
    </row>
    <row r="32">
      <c r="C32" s="17" t="s">
        <v>27</v>
      </c>
      <c r="D32" s="7"/>
      <c r="E32" s="7"/>
      <c r="F32" s="7"/>
      <c r="G32" s="7"/>
      <c r="H32" s="18" t="s">
        <v>28</v>
      </c>
    </row>
    <row r="33">
      <c r="C33" s="7"/>
      <c r="D33" s="7"/>
      <c r="E33" s="7"/>
      <c r="F33" s="7"/>
      <c r="G33" s="7"/>
      <c r="H33" s="7"/>
    </row>
    <row r="34">
      <c r="C34" s="19" t="s">
        <v>9</v>
      </c>
      <c r="D34" s="20"/>
      <c r="E34" s="20"/>
      <c r="F34" s="20"/>
      <c r="G34" s="20"/>
      <c r="H34" s="19" t="s">
        <v>9</v>
      </c>
    </row>
    <row r="35">
      <c r="C35" s="17" t="s">
        <v>29</v>
      </c>
      <c r="H35" s="17" t="s">
        <v>10</v>
      </c>
    </row>
    <row r="36">
      <c r="C36" s="17" t="s">
        <v>30</v>
      </c>
      <c r="H36" s="17" t="s">
        <v>31</v>
      </c>
    </row>
    <row r="37">
      <c r="B37" s="20"/>
      <c r="C37" s="20"/>
      <c r="D37" s="20"/>
      <c r="E37" s="20"/>
      <c r="F37" s="20"/>
      <c r="G37" s="20"/>
      <c r="H37" s="20"/>
      <c r="I37" s="20"/>
    </row>
    <row r="38">
      <c r="B38" s="20"/>
      <c r="C38" s="19" t="s">
        <v>13</v>
      </c>
      <c r="D38" s="20"/>
      <c r="E38" s="20"/>
      <c r="F38" s="20"/>
      <c r="G38" s="20"/>
      <c r="H38" s="19" t="s">
        <v>13</v>
      </c>
      <c r="I38" s="20"/>
    </row>
    <row r="39">
      <c r="B39" s="20"/>
      <c r="C39" s="17" t="s">
        <v>15</v>
      </c>
      <c r="D39" s="20"/>
      <c r="E39" s="20"/>
      <c r="F39" s="20"/>
      <c r="G39" s="20"/>
      <c r="H39" s="17" t="s">
        <v>15</v>
      </c>
      <c r="I39" s="20"/>
    </row>
    <row r="40">
      <c r="B40" s="20"/>
      <c r="C40" s="17" t="s">
        <v>32</v>
      </c>
      <c r="D40" s="20"/>
      <c r="E40" s="20"/>
      <c r="F40" s="20"/>
      <c r="G40" s="20"/>
      <c r="H40" s="17" t="s">
        <v>33</v>
      </c>
      <c r="I40" s="20"/>
    </row>
    <row r="41">
      <c r="B41" s="20"/>
      <c r="C41" s="20"/>
      <c r="D41" s="20"/>
      <c r="E41" s="20"/>
      <c r="F41" s="20"/>
      <c r="G41" s="20"/>
      <c r="H41" s="20"/>
      <c r="I41" s="20"/>
    </row>
    <row r="42">
      <c r="B42" s="20"/>
      <c r="C42" s="19" t="s">
        <v>18</v>
      </c>
      <c r="D42" s="20"/>
      <c r="E42" s="20"/>
      <c r="F42" s="20"/>
      <c r="G42" s="20"/>
      <c r="H42" s="19" t="s">
        <v>18</v>
      </c>
      <c r="I42" s="20"/>
    </row>
    <row r="43">
      <c r="B43" s="20"/>
      <c r="C43" s="17" t="s">
        <v>19</v>
      </c>
      <c r="D43" s="20"/>
      <c r="E43" s="20"/>
      <c r="F43" s="20"/>
      <c r="G43" s="20"/>
      <c r="H43" s="17" t="s">
        <v>19</v>
      </c>
      <c r="I43" s="20"/>
    </row>
    <row r="44">
      <c r="B44" s="20"/>
      <c r="C44" s="18" t="s">
        <v>34</v>
      </c>
      <c r="D44" s="20"/>
      <c r="E44" s="20"/>
      <c r="F44" s="20"/>
      <c r="G44" s="20"/>
      <c r="H44" s="17" t="s">
        <v>35</v>
      </c>
      <c r="I44" s="20"/>
    </row>
    <row r="45">
      <c r="B45" s="20"/>
      <c r="C45" s="20"/>
      <c r="D45" s="20"/>
      <c r="E45" s="20"/>
      <c r="F45" s="20"/>
      <c r="G45" s="20"/>
      <c r="H45" s="20"/>
      <c r="I45" s="20"/>
    </row>
    <row r="46">
      <c r="B46" s="20"/>
      <c r="C46" s="19" t="s">
        <v>22</v>
      </c>
      <c r="D46" s="20"/>
      <c r="E46" s="20"/>
      <c r="F46" s="20"/>
      <c r="G46" s="20"/>
      <c r="H46" s="19" t="s">
        <v>22</v>
      </c>
      <c r="I46" s="20"/>
    </row>
    <row r="47">
      <c r="B47" s="20"/>
      <c r="C47" s="17" t="s">
        <v>23</v>
      </c>
      <c r="D47" s="20"/>
      <c r="E47" s="20"/>
      <c r="F47" s="20"/>
      <c r="G47" s="20"/>
      <c r="H47" s="17" t="s">
        <v>23</v>
      </c>
      <c r="I47" s="20"/>
    </row>
    <row r="48">
      <c r="B48" s="20"/>
      <c r="C48" s="17" t="s">
        <v>36</v>
      </c>
      <c r="D48" s="20"/>
      <c r="E48" s="20"/>
      <c r="F48" s="20"/>
      <c r="G48" s="20"/>
      <c r="H48" s="17" t="s">
        <v>37</v>
      </c>
      <c r="I48" s="20"/>
    </row>
    <row r="53">
      <c r="C53" s="19" t="s">
        <v>38</v>
      </c>
    </row>
    <row r="54">
      <c r="C54" s="15" t="s">
        <v>3</v>
      </c>
      <c r="D54" s="16"/>
      <c r="E54" s="16"/>
      <c r="F54" s="16"/>
      <c r="G54" s="16"/>
      <c r="H54" s="15" t="s">
        <v>4</v>
      </c>
    </row>
    <row r="55">
      <c r="C55" s="21" t="s">
        <v>5</v>
      </c>
      <c r="D55" s="22">
        <f>sum(29.03+26.23)</f>
        <v>55.26</v>
      </c>
      <c r="H55" s="21" t="s">
        <v>5</v>
      </c>
      <c r="I55" s="22">
        <f>sum(24.39+19.31)</f>
        <v>43.7</v>
      </c>
    </row>
    <row r="56">
      <c r="C56" s="21" t="s">
        <v>9</v>
      </c>
      <c r="D56" s="22">
        <f>sum(49.82+25.19)</f>
        <v>75.01</v>
      </c>
      <c r="H56" s="21" t="s">
        <v>9</v>
      </c>
      <c r="I56" s="22">
        <f>sum(6.08+27.42)</f>
        <v>33.5</v>
      </c>
    </row>
    <row r="57">
      <c r="C57" s="21" t="s">
        <v>13</v>
      </c>
      <c r="D57" s="22">
        <f>sum(45.69+37.67)</f>
        <v>83.36</v>
      </c>
      <c r="H57" s="21" t="s">
        <v>13</v>
      </c>
      <c r="I57" s="22">
        <f>sum(6.08+25.36)</f>
        <v>31.44</v>
      </c>
    </row>
    <row r="58">
      <c r="C58" s="21" t="s">
        <v>18</v>
      </c>
      <c r="D58" s="22">
        <f>sum(43.57+29.08)</f>
        <v>72.65</v>
      </c>
      <c r="H58" s="21" t="s">
        <v>18</v>
      </c>
      <c r="I58" s="22">
        <f>sum(13.09+50.56)</f>
        <v>63.65</v>
      </c>
    </row>
    <row r="59">
      <c r="C59" s="21" t="s">
        <v>22</v>
      </c>
      <c r="D59" s="22">
        <f>sum(58.08+21.54)</f>
        <v>79.62</v>
      </c>
      <c r="H59" s="21" t="s">
        <v>22</v>
      </c>
      <c r="I59" s="22">
        <f>sum(62.28+3.88)</f>
        <v>66.16</v>
      </c>
    </row>
    <row r="61">
      <c r="C61" s="21" t="s">
        <v>39</v>
      </c>
    </row>
    <row r="62">
      <c r="C62" s="15" t="s">
        <v>3</v>
      </c>
      <c r="D62" s="16"/>
      <c r="E62" s="16"/>
      <c r="F62" s="16"/>
      <c r="G62" s="16"/>
      <c r="H62" s="15" t="s">
        <v>4</v>
      </c>
    </row>
    <row r="63">
      <c r="C63" s="21" t="s">
        <v>5</v>
      </c>
      <c r="D63" s="22">
        <f t="shared" ref="D63:D67" si="1">100-D55</f>
        <v>44.74</v>
      </c>
      <c r="H63" s="21" t="s">
        <v>5</v>
      </c>
      <c r="I63" s="22">
        <f t="shared" ref="I63:I67" si="2">100-I55</f>
        <v>56.3</v>
      </c>
    </row>
    <row r="64">
      <c r="C64" s="21" t="s">
        <v>9</v>
      </c>
      <c r="D64" s="22">
        <f t="shared" si="1"/>
        <v>24.99</v>
      </c>
      <c r="H64" s="21" t="s">
        <v>9</v>
      </c>
      <c r="I64" s="22">
        <f t="shared" si="2"/>
        <v>66.5</v>
      </c>
    </row>
    <row r="65">
      <c r="C65" s="21" t="s">
        <v>13</v>
      </c>
      <c r="D65" s="22">
        <f t="shared" si="1"/>
        <v>16.64</v>
      </c>
      <c r="H65" s="21" t="s">
        <v>13</v>
      </c>
      <c r="I65" s="22">
        <f t="shared" si="2"/>
        <v>68.56</v>
      </c>
    </row>
    <row r="66">
      <c r="C66" s="21" t="s">
        <v>18</v>
      </c>
      <c r="D66" s="22">
        <f t="shared" si="1"/>
        <v>27.35</v>
      </c>
      <c r="H66" s="21" t="s">
        <v>18</v>
      </c>
      <c r="I66" s="22">
        <f t="shared" si="2"/>
        <v>36.35</v>
      </c>
    </row>
    <row r="67">
      <c r="C67" s="21" t="s">
        <v>22</v>
      </c>
      <c r="D67" s="22">
        <f t="shared" si="1"/>
        <v>20.38</v>
      </c>
      <c r="H67" s="21" t="s">
        <v>22</v>
      </c>
      <c r="I67" s="22">
        <f t="shared" si="2"/>
        <v>33.84</v>
      </c>
    </row>
    <row r="70">
      <c r="C70" s="23" t="s">
        <v>40</v>
      </c>
      <c r="D70" s="24"/>
      <c r="E70" s="24"/>
      <c r="F70" s="24"/>
      <c r="G70" s="24"/>
      <c r="H70" s="24"/>
      <c r="I70" s="24"/>
    </row>
    <row r="71">
      <c r="C71" s="25" t="s">
        <v>3</v>
      </c>
      <c r="D71" s="26"/>
      <c r="E71" s="26"/>
      <c r="F71" s="26"/>
      <c r="G71" s="26"/>
      <c r="H71" s="25" t="s">
        <v>4</v>
      </c>
      <c r="I71" s="24"/>
    </row>
    <row r="72">
      <c r="C72" s="27" t="s">
        <v>5</v>
      </c>
      <c r="D72" s="24">
        <f>D63+29.03</f>
        <v>73.77</v>
      </c>
      <c r="E72" s="24"/>
      <c r="F72" s="24"/>
      <c r="G72" s="24"/>
      <c r="H72" s="27" t="s">
        <v>5</v>
      </c>
      <c r="I72" s="24">
        <f>I63+24.39</f>
        <v>80.69</v>
      </c>
    </row>
    <row r="73">
      <c r="C73" s="27" t="s">
        <v>9</v>
      </c>
      <c r="D73" s="24">
        <f>D64+25.19</f>
        <v>50.18</v>
      </c>
      <c r="E73" s="24"/>
      <c r="F73" s="24"/>
      <c r="G73" s="24"/>
      <c r="H73" s="27" t="s">
        <v>9</v>
      </c>
      <c r="I73" s="24">
        <f>I64+27.42</f>
        <v>93.92</v>
      </c>
    </row>
    <row r="74">
      <c r="C74" s="27" t="s">
        <v>13</v>
      </c>
      <c r="D74" s="24">
        <f>D65+37.67</f>
        <v>54.31</v>
      </c>
      <c r="E74" s="24"/>
      <c r="F74" s="24"/>
      <c r="G74" s="24"/>
      <c r="H74" s="27" t="s">
        <v>13</v>
      </c>
      <c r="I74" s="24">
        <f>sum(I65+25.36)</f>
        <v>93.92</v>
      </c>
    </row>
    <row r="75">
      <c r="C75" s="27" t="s">
        <v>18</v>
      </c>
      <c r="D75" s="24">
        <f>D66+29.08</f>
        <v>56.43</v>
      </c>
      <c r="E75" s="24"/>
      <c r="F75" s="24"/>
      <c r="G75" s="24"/>
      <c r="H75" s="27" t="s">
        <v>18</v>
      </c>
      <c r="I75" s="24">
        <f>I66+50.56</f>
        <v>86.91</v>
      </c>
    </row>
    <row r="76">
      <c r="C76" s="27" t="s">
        <v>22</v>
      </c>
      <c r="D76" s="24">
        <f>D67+58.08</f>
        <v>78.46</v>
      </c>
      <c r="E76" s="24"/>
      <c r="F76" s="24"/>
      <c r="G76" s="24"/>
      <c r="H76" s="27" t="s">
        <v>22</v>
      </c>
      <c r="I76" s="24">
        <f>I67+62.28</f>
        <v>96.12</v>
      </c>
    </row>
    <row r="77">
      <c r="C77" s="24"/>
      <c r="D77" s="24"/>
      <c r="E77" s="24"/>
      <c r="F77" s="24"/>
      <c r="G77" s="24"/>
      <c r="H77" s="24"/>
      <c r="I77" s="24"/>
    </row>
  </sheetData>
  <drawing r:id="rId1"/>
</worksheet>
</file>